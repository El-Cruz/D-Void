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5.83203125" customWidth="1"/>
    <col min="2" max="2" width="42.83203125" customWidth="1"/>
    <col min="3" max="3" width="48.83203125" customWidth="1"/>
    <col min="4" max="4" width="32.83203125" customWidth="1"/>
  </cols>
  <sheetData>
    <row r="1">
      <c r="A1" t="str">
        <v/>
      </c>
    </row>
    <row r="2">
      <c r="A2" t="str">
        <v>BASE DE DATOS DE EVENTOS • D-VOID</v>
      </c>
    </row>
    <row r="3">
      <c r="A3" t="str">
        <v>TOTAL EVENTOS</v>
      </c>
      <c r="B3" t="str">
        <v>COMPLETADOS</v>
      </c>
      <c r="C3" t="str">
        <v>EN PRODUCCIÓN</v>
      </c>
      <c r="D3" t="str">
        <v>EN DESARROLLO</v>
      </c>
    </row>
    <row r="4">
      <c r="A4">
        <f>COUNTA(B6:B18)</f>
      </c>
      <c r="B4">
        <f>COUNTIF(D6:D18, "Completado*")</f>
      </c>
      <c r="C4">
        <f>COUNTIF(D6:D18, "*desplegar*") + COUNTIF(D6:D18, "*iniciado*")</f>
      </c>
      <c r="D4">
        <f>COUNTIF(D6:D18, "*Desarrollo*")</f>
      </c>
    </row>
    <row r="5">
      <c r="A5" t="str">
        <v>Fecha</v>
      </c>
      <c r="B5" t="str">
        <v>Evento</v>
      </c>
      <c r="C5" t="str">
        <v>Link de Vercel</v>
      </c>
      <c r="D5" t="str">
        <v>Estado</v>
      </c>
    </row>
    <row r="6">
      <c r="A6" t="str">
        <v>2026-09-17</v>
      </c>
      <c r="B6" t="str">
        <v>Casino Night</v>
      </c>
      <c r="C6" t="str">
        <v>https://dvoid.vercel.app/casino</v>
      </c>
      <c r="D6" t="str">
        <v>Completado (100%)</v>
      </c>
    </row>
    <row r="7">
      <c r="A7" t="str">
        <v>2026-09-25</v>
      </c>
      <c r="B7" t="str">
        <v>Ibiza Vibes (Inicio de Semestre ASEUDLA)</v>
      </c>
      <c r="C7" t="str">
        <v>https://dvoid.vercel.app/evento-udla</v>
      </c>
      <c r="D7" t="str">
        <v>Completado (100%)</v>
      </c>
    </row>
    <row r="8">
      <c r="A8" t="str">
        <v>2026-10-01</v>
      </c>
      <c r="B8" t="str">
        <v>La Tentación</v>
      </c>
      <c r="C8" t="str">
        <v>https://dvoid.vercel.app/la-tentacion</v>
      </c>
      <c r="D8" t="str">
        <v>Completado (100%)</v>
      </c>
    </row>
    <row r="9">
      <c r="A9" t="str">
        <v>2026-10-08</v>
      </c>
      <c r="B9" t="str">
        <v>MEDICINE After Dark</v>
      </c>
      <c r="C9" t="str">
        <v>https://dvoid.vercel.app/medicine</v>
      </c>
      <c r="D9" t="str">
        <v>Completado (100%)</v>
      </c>
    </row>
    <row r="10">
      <c r="A10" t="str">
        <v>2026-10-15</v>
      </c>
      <c r="B10" t="str">
        <v>Fashion Week</v>
      </c>
      <c r="C10" t="str">
        <v>https://dvoid.vercel.app/fashion-week</v>
      </c>
      <c r="D10" t="str">
        <v>Completado (100%)</v>
      </c>
    </row>
    <row r="11">
      <c r="A11" t="str">
        <v>2026-10-22</v>
      </c>
      <c r="B11" t="str">
        <v>Old Hollywood (Hollywood Never Dies)</v>
      </c>
      <c r="C11" t="str">
        <v>https://dvoid.vercel.app/hollywood-never-dies</v>
      </c>
      <c r="D11" t="str">
        <v>Completado (100%)</v>
      </c>
    </row>
    <row r="12">
      <c r="A12" t="str">
        <v>2026-10-23</v>
      </c>
      <c r="B12" t="str">
        <v>Secret Cult</v>
      </c>
      <c r="C12" t="str">
        <v>https://dvoid.vercel.app/2026-10/23-secret-cult.html (por desplegar)</v>
      </c>
      <c r="D12" t="str">
        <v>Aún no iniciado (Brief recibido)</v>
      </c>
    </row>
    <row r="13">
      <c r="A13" t="str">
        <v>2026-10-24</v>
      </c>
      <c r="B13" t="str">
        <v>Halloween Freak Show</v>
      </c>
      <c r="C13" t="str">
        <v>https://dvoid.vercel.app/2026-10/24-freak-show.html</v>
      </c>
      <c r="D13" t="str">
        <v>Completado (100%)</v>
      </c>
    </row>
    <row r="14">
      <c r="A14" t="str">
        <v>2026-10-28</v>
      </c>
      <c r="B14" t="str">
        <v>AFTER DARK</v>
      </c>
      <c r="C14" t="str">
        <v>https://dvoid.vercel.app/after-dark</v>
      </c>
      <c r="D14" t="str">
        <v>Completado (100%)</v>
      </c>
    </row>
    <row r="15">
      <c r="A15" t="str">
        <v>2026-10-31</v>
      </c>
      <c r="B15" t="str">
        <v>La Última Noche</v>
      </c>
      <c r="C15" t="str">
        <v>https://dvoid.vercel.app/la-ultima-noche</v>
      </c>
      <c r="D15" t="str">
        <v>Completado (100%)</v>
      </c>
    </row>
    <row r="16">
      <c r="A16" t="str">
        <v>2026-11-07</v>
      </c>
      <c r="B16" t="str">
        <v>CRIMINIX</v>
      </c>
      <c r="C16" t="str">
        <v>https://dvoid.vercel.app/criminix</v>
      </c>
      <c r="D16" t="str">
        <v>Completado (100%)</v>
      </c>
    </row>
    <row r="17">
      <c r="A17" t="str">
        <v>2026-11-12</v>
      </c>
      <c r="B17" t="str">
        <v>DJ Padre Guilherme – Pre-Party (Countdown Party)</v>
      </c>
      <c r="C17" t="str">
        <v>https://dvoid.vercel.app/padre-guilherme</v>
      </c>
      <c r="D17" t="str">
        <v>Completado (100%)</v>
      </c>
    </row>
    <row r="18">
      <c r="A18" t="str">
        <v>2026-11-19</v>
      </c>
      <c r="B18" t="str">
        <v>Greek Odyssey (Santorini Night)</v>
      </c>
      <c r="C18" t="str">
        <v>https://dvoid.vercel.app/greek-odyssey</v>
      </c>
      <c r="D18" t="str">
        <v>Completado (100%)</v>
      </c>
    </row>
  </sheetData>
  <mergeCells count="1">
    <mergeCell ref="A2:D2"/>
  </mergeCells>
  <ignoredErrors>
    <ignoredError numberStoredAsText="1" sqref="A1:D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